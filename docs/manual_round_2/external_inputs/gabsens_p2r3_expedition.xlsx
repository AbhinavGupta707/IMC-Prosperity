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<sst xmlns="http://schemas.openxmlformats.org/spreadsheetml/2006/main" count="141" uniqueCount="97">
  <si>
    <t>discord</t>
  </si>
  <si>
    <t>expedition 1</t>
  </si>
  <si>
    <t>expedition 2</t>
  </si>
  <si>
    <t>expedition 3</t>
  </si>
  <si>
    <t>notes</t>
  </si>
  <si>
    <t>Total expeditions</t>
  </si>
  <si>
    <t>Nash EV</t>
  </si>
  <si>
    <t>noah1921</t>
  </si>
  <si>
    <t>Sheet creator</t>
  </si>
  <si>
    <t>Mean EV(k seashells)</t>
  </si>
  <si>
    <t>Abd</t>
  </si>
  <si>
    <t>Requested in public chat</t>
  </si>
  <si>
    <t>NOTE:</t>
  </si>
  <si>
    <t>GTO</t>
  </si>
  <si>
    <t>Cell</t>
  </si>
  <si>
    <t>Expedition %</t>
  </si>
  <si>
    <t>Hunters</t>
  </si>
  <si>
    <t>Ev 100% sheet</t>
  </si>
  <si>
    <t>Model 50% GTO / 50% sheet EV</t>
  </si>
  <si>
    <t>50% GTO / 25% sheet / 25% random</t>
  </si>
  <si>
    <t>50% GTO / 40% sheet / 10% random</t>
  </si>
  <si>
    <t>100% GTO (sanity check only)</t>
  </si>
  <si>
    <t>Caleb</t>
  </si>
  <si>
    <t>DM</t>
  </si>
  <si>
    <t>GTO VALUES ARE APPROXIMATIONS</t>
  </si>
  <si>
    <t>Tushar</t>
  </si>
  <si>
    <t>Public channel</t>
  </si>
  <si>
    <t>RESULTS FROM SIMULATIONS</t>
  </si>
  <si>
    <t>Pain</t>
  </si>
  <si>
    <t>Slightly shitposty</t>
  </si>
  <si>
    <t>WITH FLOATING POINT</t>
  </si>
  <si>
    <t>Gondo</t>
  </si>
  <si>
    <t>Public post</t>
  </si>
  <si>
    <t>ANY DIFFERENCE IN EV</t>
  </si>
  <si>
    <t>MaceoCK</t>
  </si>
  <si>
    <t>Publicly posted with tag</t>
  </si>
  <si>
    <t>IS PURELY AN ANOMOLY</t>
  </si>
  <si>
    <t>FelixK</t>
  </si>
  <si>
    <t>OF THESE INACCURACIES</t>
  </si>
  <si>
    <t>Luctia</t>
  </si>
  <si>
    <t>KoKonuts</t>
  </si>
  <si>
    <t>IN PERFECT GTO ALL EVS</t>
  </si>
  <si>
    <t>anon#1</t>
  </si>
  <si>
    <t>SHOULD BE EQUAL</t>
  </si>
  <si>
    <t>anon#2</t>
  </si>
  <si>
    <t>EXCEPT FOR 12 WHICH SUCKS</t>
  </si>
  <si>
    <t>200iq_gone_rogue</t>
  </si>
  <si>
    <t>Public channel, might make second bid</t>
  </si>
  <si>
    <t>pseudonam</t>
  </si>
  <si>
    <t>Kingvt</t>
  </si>
  <si>
    <t>anon#3</t>
  </si>
  <si>
    <t>Contact noah1921 on discord to</t>
  </si>
  <si>
    <t>julian</t>
  </si>
  <si>
    <t>be added to the sheet</t>
  </si>
  <si>
    <t>Tyler</t>
  </si>
  <si>
    <t>Public channel with tag</t>
  </si>
  <si>
    <t>tla</t>
  </si>
  <si>
    <t>thomastess</t>
  </si>
  <si>
    <t>DoranChang</t>
  </si>
  <si>
    <t>succ1996</t>
  </si>
  <si>
    <t>antheaguo</t>
  </si>
  <si>
    <t>D3VAR5H</t>
  </si>
  <si>
    <t>sadboiben</t>
  </si>
  <si>
    <t>_awsome</t>
  </si>
  <si>
    <t>anon#4</t>
  </si>
  <si>
    <t>redCoder</t>
  </si>
  <si>
    <t>Pra</t>
  </si>
  <si>
    <t>Lolipop Princess</t>
  </si>
  <si>
    <t>DagaKotowaru</t>
  </si>
  <si>
    <t>Zheyp</t>
  </si>
  <si>
    <t>bart</t>
  </si>
  <si>
    <t>RomanEmpire</t>
  </si>
  <si>
    <t>anon #5</t>
  </si>
  <si>
    <t>mrbestdeni</t>
  </si>
  <si>
    <t>Jhon</t>
  </si>
  <si>
    <t>Amwal</t>
  </si>
  <si>
    <t>anon #6</t>
  </si>
  <si>
    <t>Michel Le Blanc</t>
  </si>
  <si>
    <t>Alex</t>
  </si>
  <si>
    <t>DoubleAron</t>
  </si>
  <si>
    <t>Public Channel with tag</t>
  </si>
  <si>
    <t>Gregor</t>
  </si>
  <si>
    <t>Weibrine</t>
  </si>
  <si>
    <t>AmUrell</t>
  </si>
  <si>
    <t>Ruben</t>
  </si>
  <si>
    <t>Patrick</t>
  </si>
  <si>
    <t>ImperialraveN</t>
  </si>
  <si>
    <t>$huai</t>
  </si>
  <si>
    <t>Paul_1234567890</t>
  </si>
  <si>
    <t>paddy</t>
  </si>
  <si>
    <t>anon #7</t>
  </si>
  <si>
    <t>MrMathewSir</t>
  </si>
  <si>
    <t>vxtr</t>
  </si>
  <si>
    <t>ux14</t>
  </si>
  <si>
    <t>gyang</t>
  </si>
  <si>
    <t>Mr. K</t>
  </si>
  <si>
    <t>checkmate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</si>
</sst>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1" numFmtId="0" xfId="0" applyAlignment="1" applyFont="1">
      <alignment readingOrder="0" shrinkToFit="0" wrapText="1"/>
    </xf>
    <xf borderId="0" fillId="0" fontId="2" numFmtId="10" xfId="0" applyFont="1" applyNumberForma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6" max="6" width="22.13"/>
    <col customWidth="1" min="7" max="7" width="13.63"/>
    <col customWidth="1" min="8" max="8" width="31.0"/>
    <col customWidth="1" min="9" max="9" width="10.13"/>
    <col customWidth="1" min="10" max="10" width="17.88"/>
    <col customWidth="1" min="13" max="13" width="26.63"/>
    <col customWidth="1" min="14" max="14" width="30.63"/>
    <col customWidth="1" min="15" max="16" width="30.88"/>
    <col customWidth="1" min="17" max="17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2"/>
      <c r="H1" s="2"/>
      <c r="I1" s="2"/>
      <c r="J1" s="1" t="s">
        <v>5</v>
      </c>
      <c r="K1" s="3">
        <f>COUNT(B2:B999) + COUNT(C2:C999) + COUNT(D2:D999)</f>
        <v>134</v>
      </c>
      <c r="L1" s="1" t="s">
        <v>6</v>
      </c>
      <c r="M1" s="3">
        <f t="shared" ref="M1:Q1" si="1">SUMPRODUCT($I$4:$I$28,M4:M28)</f>
        <v>55.84158747</v>
      </c>
      <c r="N1" s="3">
        <f t="shared" si="1"/>
        <v>54.59252218</v>
      </c>
      <c r="O1" s="3">
        <f t="shared" si="1"/>
        <v>55.74587378</v>
      </c>
      <c r="P1" s="3">
        <f t="shared" si="1"/>
        <v>55.01839676</v>
      </c>
      <c r="Q1" s="3">
        <f t="shared" si="1"/>
        <v>53.75002489</v>
      </c>
    </row>
    <row r="2">
      <c r="A2" s="4" t="s">
        <v>7</v>
      </c>
      <c r="B2" s="4">
        <v>73.0</v>
      </c>
      <c r="C2" s="4">
        <v>89.0</v>
      </c>
      <c r="F2" s="4" t="s">
        <v>8</v>
      </c>
      <c r="J2" s="1" t="s">
        <v>9</v>
      </c>
      <c r="K2" s="5">
        <f>SUM(M4:O28)/75</f>
        <v>51.92438705</v>
      </c>
      <c r="M2" s="3">
        <f t="shared" ref="M2:Q2" si="2">SUM(M4:M28)/25</f>
        <v>52.46695328</v>
      </c>
      <c r="N2" s="3">
        <f t="shared" si="2"/>
        <v>52.53095636</v>
      </c>
      <c r="O2" s="3">
        <f t="shared" si="2"/>
        <v>50.77525151</v>
      </c>
      <c r="P2" s="3">
        <f t="shared" si="2"/>
        <v>51.63477936</v>
      </c>
      <c r="Q2" s="3">
        <f t="shared" si="2"/>
        <v>53.39988469</v>
      </c>
    </row>
    <row r="3">
      <c r="A3" s="4" t="s">
        <v>10</v>
      </c>
      <c r="B3" s="4">
        <v>100.0</v>
      </c>
      <c r="C3" s="4">
        <v>90.0</v>
      </c>
      <c r="D3" s="4">
        <v>89.0</v>
      </c>
      <c r="F3" s="4" t="s">
        <v>11</v>
      </c>
      <c r="G3" s="6"/>
      <c r="H3" s="6" t="s">
        <v>12</v>
      </c>
      <c r="I3" s="6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</row>
    <row r="4">
      <c r="A4" s="4" t="s">
        <v>22</v>
      </c>
      <c r="B4" s="4">
        <v>100.0</v>
      </c>
      <c r="C4" s="4">
        <v>90.0</v>
      </c>
      <c r="D4" s="4">
        <v>89.0</v>
      </c>
      <c r="F4" s="4" t="s">
        <v>23</v>
      </c>
      <c r="H4" s="1" t="s">
        <v>24</v>
      </c>
      <c r="I4" s="4">
        <v>0.0134883607410591</v>
      </c>
      <c r="J4" s="4">
        <v>24.0</v>
      </c>
      <c r="K4" s="7">
        <f t="shared" ref="K4:K28" si="3">(COUNTIF($B$2:$B999, J4)+(COUNTIF($C$2:$C999, J4)) + (COUNTIF($D$2:$D999, J4)))/$K$1</f>
        <v>0.01492537313</v>
      </c>
      <c r="L4" s="4">
        <v>2.0</v>
      </c>
      <c r="M4" s="3">
        <f t="shared" ref="M4:M28" si="4">J4/(K4*100+L4)*7.5</f>
        <v>51.53846154</v>
      </c>
      <c r="N4" s="3">
        <f t="shared" ref="N4:N28" si="5">J4/((I4+K4)/2*100+L4)*7.5</f>
        <v>52.6210133</v>
      </c>
      <c r="O4" s="3">
        <f t="shared" ref="O4:O28" si="6">J4/((I4*0.5+K4*0.25+0.01)*100+L4)*7.5</f>
        <v>44.47132087</v>
      </c>
      <c r="P4" s="3">
        <f t="shared" ref="P4:P28" si="7">J4/((I4*0.5+K4*0.4+0.004)*100+L4)*7.5</f>
        <v>49.02717872</v>
      </c>
      <c r="Q4" s="3">
        <f t="shared" ref="Q4:Q28" si="8">J4/(I4*100+L4)*7.5</f>
        <v>53.75001822</v>
      </c>
    </row>
    <row r="5">
      <c r="A5" s="4" t="s">
        <v>25</v>
      </c>
      <c r="B5" s="4">
        <v>70.0</v>
      </c>
      <c r="C5" s="4">
        <v>60.0</v>
      </c>
      <c r="F5" s="4" t="s">
        <v>26</v>
      </c>
      <c r="H5" s="1" t="s">
        <v>27</v>
      </c>
      <c r="I5" s="4">
        <v>0.0576744308128759</v>
      </c>
      <c r="J5" s="4">
        <v>70.0</v>
      </c>
      <c r="K5" s="7">
        <f t="shared" si="3"/>
        <v>0.0447761194</v>
      </c>
      <c r="L5" s="4">
        <v>4.0</v>
      </c>
      <c r="M5" s="3">
        <f t="shared" si="4"/>
        <v>61.9278169</v>
      </c>
      <c r="N5" s="3">
        <f t="shared" si="5"/>
        <v>57.54984015</v>
      </c>
      <c r="O5" s="3">
        <f t="shared" si="6"/>
        <v>58.31308881</v>
      </c>
      <c r="P5" s="3">
        <f t="shared" si="7"/>
        <v>57.85272939</v>
      </c>
      <c r="Q5" s="3">
        <f t="shared" si="8"/>
        <v>53.74999328</v>
      </c>
    </row>
    <row r="6">
      <c r="A6" s="4" t="s">
        <v>28</v>
      </c>
      <c r="B6" s="4">
        <v>100.0</v>
      </c>
      <c r="C6" s="4">
        <v>90.0</v>
      </c>
      <c r="D6" s="4">
        <v>89.0</v>
      </c>
      <c r="F6" s="4" t="s">
        <v>29</v>
      </c>
      <c r="H6" s="1" t="s">
        <v>30</v>
      </c>
      <c r="I6" s="4">
        <v>0.0272099397154031</v>
      </c>
      <c r="J6" s="4">
        <v>41.0</v>
      </c>
      <c r="K6" s="7">
        <f t="shared" si="3"/>
        <v>0.03731343284</v>
      </c>
      <c r="L6" s="4">
        <v>3.0</v>
      </c>
      <c r="M6" s="3">
        <f t="shared" si="4"/>
        <v>45.68181818</v>
      </c>
      <c r="N6" s="3">
        <f t="shared" si="5"/>
        <v>49.38831863</v>
      </c>
      <c r="O6" s="3">
        <f t="shared" si="6"/>
        <v>48.8612329</v>
      </c>
      <c r="P6" s="3">
        <f t="shared" si="7"/>
        <v>49.17612559</v>
      </c>
      <c r="Q6" s="3">
        <f t="shared" si="8"/>
        <v>53.74940116</v>
      </c>
    </row>
    <row r="7">
      <c r="A7" s="4" t="s">
        <v>31</v>
      </c>
      <c r="B7" s="4">
        <v>87.0</v>
      </c>
      <c r="C7" s="4">
        <v>85.0</v>
      </c>
      <c r="F7" s="4" t="s">
        <v>32</v>
      </c>
      <c r="H7" s="1" t="s">
        <v>33</v>
      </c>
      <c r="I7" s="4">
        <v>0.00930301011414887</v>
      </c>
      <c r="J7" s="4">
        <v>21.0</v>
      </c>
      <c r="K7" s="7">
        <f t="shared" si="3"/>
        <v>0.01492537313</v>
      </c>
      <c r="L7" s="4">
        <v>2.0</v>
      </c>
      <c r="M7" s="3">
        <f t="shared" si="4"/>
        <v>45.09615385</v>
      </c>
      <c r="N7" s="3">
        <f t="shared" si="5"/>
        <v>49.043738</v>
      </c>
      <c r="O7" s="3">
        <f t="shared" si="6"/>
        <v>41.03395314</v>
      </c>
      <c r="P7" s="3">
        <f t="shared" si="7"/>
        <v>45.49176033</v>
      </c>
      <c r="Q7" s="3">
        <f t="shared" si="8"/>
        <v>53.74874437</v>
      </c>
    </row>
    <row r="8">
      <c r="A8" s="4" t="s">
        <v>34</v>
      </c>
      <c r="B8" s="4">
        <v>47.0</v>
      </c>
      <c r="C8" s="4">
        <v>77.0</v>
      </c>
      <c r="D8" s="4">
        <v>60.0</v>
      </c>
      <c r="F8" s="4" t="s">
        <v>35</v>
      </c>
      <c r="H8" s="1" t="s">
        <v>36</v>
      </c>
      <c r="I8" s="4">
        <v>0.0437210484897193</v>
      </c>
      <c r="J8" s="4">
        <v>60.0</v>
      </c>
      <c r="K8" s="7">
        <f t="shared" si="3"/>
        <v>0.03731343284</v>
      </c>
      <c r="L8" s="4">
        <v>4.0</v>
      </c>
      <c r="M8" s="3">
        <f t="shared" si="4"/>
        <v>58.2046332</v>
      </c>
      <c r="N8" s="3">
        <f t="shared" si="5"/>
        <v>55.88865146</v>
      </c>
      <c r="O8" s="3">
        <f t="shared" si="6"/>
        <v>55.42630794</v>
      </c>
      <c r="P8" s="3">
        <f t="shared" si="7"/>
        <v>55.70279153</v>
      </c>
      <c r="Q8" s="3">
        <f t="shared" si="8"/>
        <v>53.74992408</v>
      </c>
    </row>
    <row r="9">
      <c r="A9" s="4" t="s">
        <v>37</v>
      </c>
      <c r="B9" s="4">
        <v>83.0</v>
      </c>
      <c r="C9" s="4">
        <v>55.0</v>
      </c>
      <c r="F9" s="4" t="s">
        <v>35</v>
      </c>
      <c r="H9" s="1" t="s">
        <v>38</v>
      </c>
      <c r="I9" s="4">
        <v>0.0355813695570698</v>
      </c>
      <c r="J9" s="4">
        <v>47.0</v>
      </c>
      <c r="K9" s="7">
        <f t="shared" si="3"/>
        <v>0.02985074627</v>
      </c>
      <c r="L9" s="4">
        <v>3.0</v>
      </c>
      <c r="M9" s="3">
        <f t="shared" si="4"/>
        <v>58.89650873</v>
      </c>
      <c r="N9" s="3">
        <f t="shared" si="5"/>
        <v>56.20570102</v>
      </c>
      <c r="O9" s="3">
        <f t="shared" si="6"/>
        <v>54.02019738</v>
      </c>
      <c r="P9" s="3">
        <f t="shared" si="7"/>
        <v>55.31061688</v>
      </c>
      <c r="Q9" s="3">
        <f t="shared" si="8"/>
        <v>53.75002114</v>
      </c>
    </row>
    <row r="10">
      <c r="A10" s="4" t="s">
        <v>39</v>
      </c>
      <c r="B10" s="4">
        <v>79.0</v>
      </c>
      <c r="C10" s="4">
        <v>82.0</v>
      </c>
      <c r="F10" s="4" t="s">
        <v>23</v>
      </c>
      <c r="I10" s="4">
        <v>0.0644182823966503</v>
      </c>
      <c r="J10" s="4">
        <v>82.0</v>
      </c>
      <c r="K10" s="7">
        <f t="shared" si="3"/>
        <v>0.0447761194</v>
      </c>
      <c r="L10" s="4">
        <v>5.0</v>
      </c>
      <c r="M10" s="3">
        <f t="shared" si="4"/>
        <v>64.88976378</v>
      </c>
      <c r="N10" s="3">
        <f t="shared" si="5"/>
        <v>58.7969845</v>
      </c>
      <c r="O10" s="3">
        <f t="shared" si="6"/>
        <v>59.47593229</v>
      </c>
      <c r="P10" s="3">
        <f t="shared" si="7"/>
        <v>59.06669496</v>
      </c>
      <c r="Q10" s="3">
        <f t="shared" si="8"/>
        <v>53.75015138</v>
      </c>
    </row>
    <row r="11">
      <c r="A11" s="4" t="s">
        <v>40</v>
      </c>
      <c r="B11" s="4">
        <v>24.0</v>
      </c>
      <c r="C11" s="4">
        <v>35.0</v>
      </c>
      <c r="F11" s="4" t="s">
        <v>23</v>
      </c>
      <c r="H11" s="1" t="s">
        <v>41</v>
      </c>
      <c r="I11" s="4">
        <v>0.0713946832048835</v>
      </c>
      <c r="J11" s="4">
        <v>87.0</v>
      </c>
      <c r="K11" s="7">
        <f t="shared" si="3"/>
        <v>0.05223880597</v>
      </c>
      <c r="L11" s="4">
        <v>5.0</v>
      </c>
      <c r="M11" s="3">
        <f t="shared" si="4"/>
        <v>63.82116788</v>
      </c>
      <c r="N11" s="3">
        <f t="shared" si="5"/>
        <v>58.35440858</v>
      </c>
      <c r="O11" s="3">
        <f t="shared" si="6"/>
        <v>59.99611441</v>
      </c>
      <c r="P11" s="3">
        <f t="shared" si="7"/>
        <v>59.00019011</v>
      </c>
      <c r="Q11" s="3">
        <f t="shared" si="8"/>
        <v>53.75029472</v>
      </c>
    </row>
    <row r="12">
      <c r="A12" s="4" t="s">
        <v>42</v>
      </c>
      <c r="B12" s="4">
        <v>70.0</v>
      </c>
      <c r="C12" s="4">
        <v>41.0</v>
      </c>
      <c r="D12" s="4">
        <v>80.0</v>
      </c>
      <c r="F12" s="4" t="s">
        <v>23</v>
      </c>
      <c r="H12" s="1" t="s">
        <v>43</v>
      </c>
      <c r="I12" s="4">
        <v>0.0616278700180034</v>
      </c>
      <c r="J12" s="4">
        <v>80.0</v>
      </c>
      <c r="K12" s="7">
        <f t="shared" si="3"/>
        <v>0.05970149254</v>
      </c>
      <c r="L12" s="4">
        <v>5.0</v>
      </c>
      <c r="M12" s="3">
        <f t="shared" si="4"/>
        <v>54.69387755</v>
      </c>
      <c r="N12" s="3">
        <f t="shared" si="5"/>
        <v>54.21784015</v>
      </c>
      <c r="O12" s="3">
        <f t="shared" si="6"/>
        <v>56.74332569</v>
      </c>
      <c r="P12" s="3">
        <f t="shared" si="7"/>
        <v>55.20056886</v>
      </c>
      <c r="Q12" s="3">
        <f t="shared" si="8"/>
        <v>53.7500178</v>
      </c>
    </row>
    <row r="13">
      <c r="A13" s="4" t="s">
        <v>44</v>
      </c>
      <c r="B13" s="4">
        <v>73.0</v>
      </c>
      <c r="C13" s="4">
        <v>80.0</v>
      </c>
      <c r="F13" s="4" t="s">
        <v>23</v>
      </c>
      <c r="H13" s="1" t="s">
        <v>45</v>
      </c>
      <c r="I13" s="4">
        <v>0.0188371251824766</v>
      </c>
      <c r="J13" s="4">
        <v>35.0</v>
      </c>
      <c r="K13" s="7">
        <f t="shared" si="3"/>
        <v>0.02985074627</v>
      </c>
      <c r="L13" s="4">
        <v>3.0</v>
      </c>
      <c r="M13" s="3">
        <f t="shared" si="4"/>
        <v>43.85910224</v>
      </c>
      <c r="N13" s="3">
        <f t="shared" si="5"/>
        <v>48.30345769</v>
      </c>
      <c r="O13" s="3">
        <f t="shared" si="6"/>
        <v>46.14877554</v>
      </c>
      <c r="P13" s="3">
        <f t="shared" si="7"/>
        <v>47.41788303</v>
      </c>
      <c r="Q13" s="3">
        <f t="shared" si="8"/>
        <v>53.75009258</v>
      </c>
    </row>
    <row r="14">
      <c r="A14" s="4" t="s">
        <v>46</v>
      </c>
      <c r="B14" s="4">
        <v>52.0</v>
      </c>
      <c r="C14" s="4">
        <v>85.0</v>
      </c>
      <c r="F14" s="4" t="s">
        <v>47</v>
      </c>
      <c r="I14" s="4">
        <v>0.0618604945223489</v>
      </c>
      <c r="J14" s="4">
        <v>73.0</v>
      </c>
      <c r="K14" s="7">
        <f t="shared" si="3"/>
        <v>0.0671641791</v>
      </c>
      <c r="L14" s="4">
        <v>4.0</v>
      </c>
      <c r="M14" s="3">
        <f t="shared" si="4"/>
        <v>51.08983287</v>
      </c>
      <c r="N14" s="3">
        <f t="shared" si="5"/>
        <v>52.38616002</v>
      </c>
      <c r="O14" s="3">
        <f t="shared" si="6"/>
        <v>56.02668452</v>
      </c>
      <c r="P14" s="3">
        <f t="shared" si="7"/>
        <v>53.78408151</v>
      </c>
      <c r="Q14" s="3">
        <f t="shared" si="8"/>
        <v>53.74998448</v>
      </c>
    </row>
    <row r="15">
      <c r="A15" s="4" t="s">
        <v>48</v>
      </c>
      <c r="B15" s="4">
        <v>52.0</v>
      </c>
      <c r="C15" s="4">
        <v>83.0</v>
      </c>
      <c r="F15" s="4" t="s">
        <v>35</v>
      </c>
      <c r="I15" s="4">
        <v>0.0741860370946391</v>
      </c>
      <c r="J15" s="4">
        <v>89.0</v>
      </c>
      <c r="K15" s="7">
        <f t="shared" si="3"/>
        <v>0.08208955224</v>
      </c>
      <c r="L15" s="4">
        <v>5.0</v>
      </c>
      <c r="M15" s="3">
        <f t="shared" si="4"/>
        <v>50.53389831</v>
      </c>
      <c r="N15" s="3">
        <f t="shared" si="5"/>
        <v>52.09235899</v>
      </c>
      <c r="O15" s="3">
        <f t="shared" si="6"/>
        <v>56.75276898</v>
      </c>
      <c r="P15" s="3">
        <f t="shared" si="7"/>
        <v>53.86155499</v>
      </c>
      <c r="Q15" s="3">
        <f t="shared" si="8"/>
        <v>53.75000408</v>
      </c>
    </row>
    <row r="16">
      <c r="A16" s="4" t="s">
        <v>49</v>
      </c>
      <c r="B16" s="4">
        <v>80.0</v>
      </c>
      <c r="C16" s="4">
        <v>90.0</v>
      </c>
      <c r="D16" s="4">
        <v>79.0</v>
      </c>
      <c r="F16" s="4" t="s">
        <v>26</v>
      </c>
      <c r="I16" s="4">
        <v>0.059534438490049</v>
      </c>
      <c r="J16" s="4">
        <v>100.0</v>
      </c>
      <c r="K16" s="7">
        <f t="shared" si="3"/>
        <v>0.05223880597</v>
      </c>
      <c r="L16" s="4">
        <v>8.0</v>
      </c>
      <c r="M16" s="3">
        <f t="shared" si="4"/>
        <v>56.71557562</v>
      </c>
      <c r="N16" s="3">
        <f t="shared" si="5"/>
        <v>55.19307108</v>
      </c>
      <c r="O16" s="3">
        <f t="shared" si="6"/>
        <v>56.46445734</v>
      </c>
      <c r="P16" s="3">
        <f t="shared" si="7"/>
        <v>55.6946926</v>
      </c>
      <c r="Q16" s="3">
        <f t="shared" si="8"/>
        <v>53.75017151</v>
      </c>
    </row>
    <row r="17">
      <c r="A17" s="4" t="s">
        <v>50</v>
      </c>
      <c r="B17" s="4">
        <v>89.0</v>
      </c>
      <c r="C17" s="4">
        <v>77.0</v>
      </c>
      <c r="D17" s="4">
        <v>52.0</v>
      </c>
      <c r="F17" s="4" t="s">
        <v>23</v>
      </c>
      <c r="H17" s="1" t="s">
        <v>51</v>
      </c>
      <c r="I17" s="4">
        <v>0.0555807880382566</v>
      </c>
      <c r="J17" s="4">
        <v>90.0</v>
      </c>
      <c r="K17" s="7">
        <f t="shared" si="3"/>
        <v>0.05223880597</v>
      </c>
      <c r="L17" s="4">
        <v>7.0</v>
      </c>
      <c r="M17" s="3">
        <f t="shared" si="4"/>
        <v>55.21978022</v>
      </c>
      <c r="N17" s="3">
        <f t="shared" si="5"/>
        <v>54.47511144</v>
      </c>
      <c r="O17" s="3">
        <f t="shared" si="6"/>
        <v>55.85432077</v>
      </c>
      <c r="P17" s="3">
        <f t="shared" si="7"/>
        <v>55.01854001</v>
      </c>
      <c r="Q17" s="3">
        <f t="shared" si="8"/>
        <v>53.75025994</v>
      </c>
    </row>
    <row r="18">
      <c r="A18" s="4" t="s">
        <v>52</v>
      </c>
      <c r="B18" s="4">
        <v>73.0</v>
      </c>
      <c r="C18" s="4">
        <v>77.0</v>
      </c>
      <c r="F18" s="4" t="s">
        <v>23</v>
      </c>
      <c r="H18" s="1" t="s">
        <v>53</v>
      </c>
      <c r="I18" s="4">
        <v>0.00372180906965587</v>
      </c>
      <c r="J18" s="4">
        <v>17.0</v>
      </c>
      <c r="K18" s="7">
        <f t="shared" si="3"/>
        <v>0.02985074627</v>
      </c>
      <c r="L18" s="4">
        <v>2.0</v>
      </c>
      <c r="M18" s="3">
        <f t="shared" si="4"/>
        <v>25.57634731</v>
      </c>
      <c r="N18" s="3">
        <f t="shared" si="5"/>
        <v>34.65966335</v>
      </c>
      <c r="O18" s="3">
        <f t="shared" si="6"/>
        <v>32.42328496</v>
      </c>
      <c r="P18" s="3">
        <f t="shared" si="7"/>
        <v>33.72908525</v>
      </c>
      <c r="Q18" s="3">
        <f t="shared" si="8"/>
        <v>53.74800869</v>
      </c>
    </row>
    <row r="19">
      <c r="A19" s="4" t="s">
        <v>54</v>
      </c>
      <c r="B19" s="4">
        <v>73.0</v>
      </c>
      <c r="C19" s="4">
        <v>89.0</v>
      </c>
      <c r="F19" s="4" t="s">
        <v>55</v>
      </c>
      <c r="H19" s="8"/>
      <c r="I19" s="4">
        <v>0.0574416244562349</v>
      </c>
      <c r="J19" s="4">
        <v>77.0</v>
      </c>
      <c r="K19" s="7">
        <f t="shared" si="3"/>
        <v>0.0671641791</v>
      </c>
      <c r="L19" s="4">
        <v>5.0</v>
      </c>
      <c r="M19" s="3">
        <f t="shared" si="4"/>
        <v>49.28980892</v>
      </c>
      <c r="N19" s="3">
        <f t="shared" si="5"/>
        <v>51.42342636</v>
      </c>
      <c r="O19" s="3">
        <f t="shared" si="6"/>
        <v>54.7331851</v>
      </c>
      <c r="P19" s="3">
        <f t="shared" si="7"/>
        <v>52.69810469</v>
      </c>
      <c r="Q19" s="3">
        <f t="shared" si="8"/>
        <v>53.75011807</v>
      </c>
    </row>
    <row r="20">
      <c r="A20" s="4" t="s">
        <v>56</v>
      </c>
      <c r="B20" s="4">
        <v>85.0</v>
      </c>
      <c r="C20" s="4">
        <v>89.0</v>
      </c>
      <c r="F20" s="4" t="s">
        <v>26</v>
      </c>
      <c r="I20" s="4">
        <v>0.0658139629497713</v>
      </c>
      <c r="J20" s="4">
        <v>83.0</v>
      </c>
      <c r="K20" s="7">
        <f t="shared" si="3"/>
        <v>0.05223880597</v>
      </c>
      <c r="L20" s="4">
        <v>5.0</v>
      </c>
      <c r="M20" s="3">
        <f t="shared" si="4"/>
        <v>60.88686131</v>
      </c>
      <c r="N20" s="3">
        <f t="shared" si="5"/>
        <v>57.09627106</v>
      </c>
      <c r="O20" s="3">
        <f t="shared" si="6"/>
        <v>58.74487929</v>
      </c>
      <c r="P20" s="3">
        <f t="shared" si="7"/>
        <v>57.74448438</v>
      </c>
      <c r="Q20" s="3">
        <f t="shared" si="8"/>
        <v>53.74999561</v>
      </c>
    </row>
    <row r="21">
      <c r="A21" s="4" t="s">
        <v>57</v>
      </c>
      <c r="B21" s="4">
        <v>70.0</v>
      </c>
      <c r="C21" s="4">
        <v>82.0</v>
      </c>
      <c r="D21" s="4">
        <v>87.0</v>
      </c>
      <c r="I21" s="4">
        <v>0.0686043522833369</v>
      </c>
      <c r="J21" s="4">
        <v>85.0</v>
      </c>
      <c r="K21" s="7">
        <f t="shared" si="3"/>
        <v>0.05223880597</v>
      </c>
      <c r="L21" s="4">
        <v>5.0</v>
      </c>
      <c r="M21" s="3">
        <f t="shared" si="4"/>
        <v>62.3540146</v>
      </c>
      <c r="N21" s="3">
        <f t="shared" si="5"/>
        <v>57.73328049</v>
      </c>
      <c r="O21" s="3">
        <f t="shared" si="6"/>
        <v>59.37861875</v>
      </c>
      <c r="P21" s="3">
        <f t="shared" si="7"/>
        <v>58.38035129</v>
      </c>
      <c r="Q21" s="3">
        <f t="shared" si="8"/>
        <v>53.75013545</v>
      </c>
    </row>
    <row r="22">
      <c r="A22" s="4" t="s">
        <v>58</v>
      </c>
      <c r="B22" s="4">
        <v>17.0</v>
      </c>
      <c r="C22" s="4">
        <v>21.0</v>
      </c>
      <c r="D22" s="4">
        <v>30.0</v>
      </c>
      <c r="F22" s="4" t="s">
        <v>23</v>
      </c>
      <c r="I22" s="4">
        <v>0.0602328701084461</v>
      </c>
      <c r="J22" s="4">
        <v>79.0</v>
      </c>
      <c r="K22" s="7">
        <f t="shared" si="3"/>
        <v>0.05970149254</v>
      </c>
      <c r="L22" s="4">
        <v>5.0</v>
      </c>
      <c r="M22" s="3">
        <f t="shared" si="4"/>
        <v>54.01020408</v>
      </c>
      <c r="N22" s="3">
        <f t="shared" si="5"/>
        <v>53.87971146</v>
      </c>
      <c r="O22" s="3">
        <f t="shared" si="6"/>
        <v>56.40611203</v>
      </c>
      <c r="P22" s="3">
        <f t="shared" si="7"/>
        <v>54.86261878</v>
      </c>
      <c r="Q22" s="3">
        <f t="shared" si="8"/>
        <v>53.74984788</v>
      </c>
    </row>
    <row r="23">
      <c r="A23" s="4" t="s">
        <v>59</v>
      </c>
      <c r="B23" s="4">
        <v>30.0</v>
      </c>
      <c r="C23" s="4">
        <v>24.0</v>
      </c>
      <c r="D23" s="4">
        <v>17.0</v>
      </c>
      <c r="F23" s="4" t="s">
        <v>23</v>
      </c>
      <c r="I23" s="4">
        <v>0.0367438029724341</v>
      </c>
      <c r="J23" s="4">
        <v>55.0</v>
      </c>
      <c r="K23" s="7">
        <f t="shared" si="3"/>
        <v>0.0447761194</v>
      </c>
      <c r="L23" s="4">
        <v>4.0</v>
      </c>
      <c r="M23" s="3">
        <f t="shared" si="4"/>
        <v>48.65757042</v>
      </c>
      <c r="N23" s="3">
        <f t="shared" si="5"/>
        <v>51.07729052</v>
      </c>
      <c r="O23" s="3">
        <f t="shared" si="6"/>
        <v>51.8437971</v>
      </c>
      <c r="P23" s="3">
        <f t="shared" si="7"/>
        <v>51.38115711</v>
      </c>
      <c r="Q23" s="3">
        <f t="shared" si="8"/>
        <v>53.7502683</v>
      </c>
    </row>
    <row r="24">
      <c r="A24" s="4" t="s">
        <v>60</v>
      </c>
      <c r="B24" s="4">
        <v>30.0</v>
      </c>
      <c r="C24" s="4">
        <v>17.0</v>
      </c>
      <c r="D24" s="4">
        <v>83.0</v>
      </c>
      <c r="F24" s="4" t="s">
        <v>23</v>
      </c>
      <c r="I24" s="4">
        <v>0.0</v>
      </c>
      <c r="J24" s="4">
        <v>12.0</v>
      </c>
      <c r="K24" s="7">
        <f t="shared" si="3"/>
        <v>0</v>
      </c>
      <c r="L24" s="4">
        <v>2.0</v>
      </c>
      <c r="M24" s="3">
        <f t="shared" si="4"/>
        <v>45</v>
      </c>
      <c r="N24" s="3">
        <f t="shared" si="5"/>
        <v>45</v>
      </c>
      <c r="O24" s="3">
        <f t="shared" si="6"/>
        <v>30</v>
      </c>
      <c r="P24" s="3">
        <f t="shared" si="7"/>
        <v>37.5</v>
      </c>
      <c r="Q24" s="3">
        <f t="shared" si="8"/>
        <v>45</v>
      </c>
    </row>
    <row r="25">
      <c r="A25" s="4" t="s">
        <v>61</v>
      </c>
      <c r="B25" s="4">
        <v>100.0</v>
      </c>
      <c r="C25" s="4">
        <v>90.0</v>
      </c>
      <c r="F25" s="4" t="s">
        <v>23</v>
      </c>
      <c r="I25" s="4">
        <v>0.00767440948256321</v>
      </c>
      <c r="J25" s="4">
        <v>27.0</v>
      </c>
      <c r="K25" s="7">
        <f t="shared" si="3"/>
        <v>0.007462686567</v>
      </c>
      <c r="L25" s="4">
        <v>3.0</v>
      </c>
      <c r="M25" s="3">
        <f t="shared" si="4"/>
        <v>54.05378486</v>
      </c>
      <c r="N25" s="3">
        <f t="shared" si="5"/>
        <v>53.90147095</v>
      </c>
      <c r="O25" s="3">
        <f t="shared" si="6"/>
        <v>44.30793334</v>
      </c>
      <c r="P25" s="3">
        <f t="shared" si="7"/>
        <v>49.60526534</v>
      </c>
      <c r="Q25" s="3">
        <f t="shared" si="8"/>
        <v>53.75001301</v>
      </c>
    </row>
    <row r="26">
      <c r="A26" s="4" t="s">
        <v>62</v>
      </c>
      <c r="B26" s="4">
        <v>85.0</v>
      </c>
      <c r="C26" s="4">
        <v>87.0</v>
      </c>
      <c r="F26" s="4" t="s">
        <v>23</v>
      </c>
      <c r="I26" s="4">
        <v>0.0325587161459032</v>
      </c>
      <c r="J26" s="4">
        <v>52.0</v>
      </c>
      <c r="K26" s="7">
        <f t="shared" si="3"/>
        <v>0.02985074627</v>
      </c>
      <c r="L26" s="4">
        <v>4.0</v>
      </c>
      <c r="M26" s="3">
        <f t="shared" si="4"/>
        <v>55.83333333</v>
      </c>
      <c r="N26" s="3">
        <f t="shared" si="5"/>
        <v>54.77164135</v>
      </c>
      <c r="O26" s="3">
        <f t="shared" si="6"/>
        <v>52.88706082</v>
      </c>
      <c r="P26" s="3">
        <f t="shared" si="7"/>
        <v>54.00191838</v>
      </c>
      <c r="Q26" s="3">
        <f t="shared" si="8"/>
        <v>53.74957286</v>
      </c>
    </row>
    <row r="27">
      <c r="A27" s="4" t="s">
        <v>63</v>
      </c>
      <c r="B27" s="4">
        <v>47.0</v>
      </c>
      <c r="C27" s="4">
        <v>82.0</v>
      </c>
      <c r="F27" s="4" t="s">
        <v>23</v>
      </c>
      <c r="I27" s="4">
        <v>9.30294862144597E-4</v>
      </c>
      <c r="J27" s="4">
        <v>15.0</v>
      </c>
      <c r="K27" s="7">
        <f t="shared" si="3"/>
        <v>0</v>
      </c>
      <c r="L27" s="4">
        <v>2.0</v>
      </c>
      <c r="M27" s="3">
        <f t="shared" si="4"/>
        <v>56.25</v>
      </c>
      <c r="N27" s="3">
        <f t="shared" si="5"/>
        <v>54.97150723</v>
      </c>
      <c r="O27" s="3">
        <f t="shared" si="6"/>
        <v>36.92744316</v>
      </c>
      <c r="P27" s="3">
        <f t="shared" si="7"/>
        <v>45.98378175</v>
      </c>
      <c r="Q27" s="3">
        <f t="shared" si="8"/>
        <v>53.74984</v>
      </c>
    </row>
    <row r="28">
      <c r="A28" s="4" t="s">
        <v>64</v>
      </c>
      <c r="B28" s="4">
        <v>82.0</v>
      </c>
      <c r="C28" s="4">
        <v>79.0</v>
      </c>
      <c r="F28" s="4" t="s">
        <v>23</v>
      </c>
      <c r="I28" s="4">
        <v>0.0118602792919254</v>
      </c>
      <c r="J28" s="4">
        <v>30.0</v>
      </c>
      <c r="K28" s="7">
        <f t="shared" si="3"/>
        <v>0.02985074627</v>
      </c>
      <c r="L28" s="4">
        <v>3.0</v>
      </c>
      <c r="M28" s="3">
        <f t="shared" si="4"/>
        <v>37.59351621</v>
      </c>
      <c r="N28" s="3">
        <f t="shared" si="5"/>
        <v>44.24299111</v>
      </c>
      <c r="O28" s="3">
        <f t="shared" si="6"/>
        <v>42.14049264</v>
      </c>
      <c r="P28" s="3">
        <f t="shared" si="7"/>
        <v>43.37730854</v>
      </c>
      <c r="Q28" s="3">
        <f t="shared" si="8"/>
        <v>53.7502386</v>
      </c>
    </row>
    <row r="29">
      <c r="A29" s="4" t="s">
        <v>65</v>
      </c>
      <c r="B29" s="4">
        <v>85.0</v>
      </c>
      <c r="C29" s="4">
        <v>83.0</v>
      </c>
      <c r="F29" s="4" t="s">
        <v>26</v>
      </c>
    </row>
    <row r="30">
      <c r="A30" s="4" t="s">
        <v>66</v>
      </c>
      <c r="B30" s="4">
        <v>60.0</v>
      </c>
      <c r="C30" s="4">
        <v>47.0</v>
      </c>
      <c r="F30" s="4" t="s">
        <v>26</v>
      </c>
    </row>
    <row r="31">
      <c r="A31" s="4" t="s">
        <v>67</v>
      </c>
      <c r="B31" s="4">
        <v>89.0</v>
      </c>
      <c r="C31" s="4">
        <v>87.0</v>
      </c>
      <c r="F31" s="4" t="s">
        <v>23</v>
      </c>
    </row>
    <row r="32">
      <c r="A32" s="4" t="s">
        <v>68</v>
      </c>
      <c r="B32" s="4">
        <v>77.0</v>
      </c>
      <c r="C32" s="4">
        <v>41.0</v>
      </c>
      <c r="F32" s="4" t="s">
        <v>23</v>
      </c>
    </row>
    <row r="33">
      <c r="A33" s="4" t="s">
        <v>69</v>
      </c>
      <c r="B33" s="4">
        <v>83.0</v>
      </c>
      <c r="C33" s="4">
        <v>70.0</v>
      </c>
      <c r="D33" s="4">
        <v>73.0</v>
      </c>
      <c r="F33" s="4" t="s">
        <v>23</v>
      </c>
    </row>
    <row r="34">
      <c r="A34" s="4" t="s">
        <v>70</v>
      </c>
      <c r="B34" s="4">
        <v>55.0</v>
      </c>
      <c r="C34" s="4">
        <v>52.0</v>
      </c>
    </row>
    <row r="35">
      <c r="A35" s="4" t="s">
        <v>71</v>
      </c>
      <c r="B35" s="4">
        <v>79.0</v>
      </c>
      <c r="C35" s="4">
        <v>77.0</v>
      </c>
      <c r="D35" s="4">
        <v>47.0</v>
      </c>
    </row>
    <row r="36">
      <c r="A36" s="4" t="s">
        <v>72</v>
      </c>
      <c r="B36" s="4">
        <v>77.0</v>
      </c>
      <c r="C36" s="4">
        <v>27.0</v>
      </c>
      <c r="D36" s="4">
        <v>41.0</v>
      </c>
      <c r="F36" s="4" t="s">
        <v>23</v>
      </c>
    </row>
    <row r="37">
      <c r="A37" s="4" t="s">
        <v>73</v>
      </c>
      <c r="B37" s="4">
        <v>80.0</v>
      </c>
      <c r="C37" s="4">
        <v>87.0</v>
      </c>
      <c r="F37" s="4" t="s">
        <v>23</v>
      </c>
    </row>
    <row r="38">
      <c r="A38" s="4" t="s">
        <v>74</v>
      </c>
      <c r="B38" s="4">
        <v>70.0</v>
      </c>
      <c r="C38" s="4">
        <v>82.0</v>
      </c>
      <c r="F38" s="4" t="s">
        <v>23</v>
      </c>
    </row>
    <row r="39">
      <c r="A39" s="4" t="s">
        <v>75</v>
      </c>
      <c r="B39" s="4">
        <v>79.0</v>
      </c>
      <c r="C39" s="4">
        <v>73.0</v>
      </c>
      <c r="F39" s="4" t="s">
        <v>26</v>
      </c>
    </row>
    <row r="40">
      <c r="A40" s="4" t="s">
        <v>76</v>
      </c>
      <c r="B40" s="4">
        <v>80.0</v>
      </c>
      <c r="C40" s="4">
        <v>89.0</v>
      </c>
      <c r="F40" s="4" t="s">
        <v>23</v>
      </c>
    </row>
    <row r="41">
      <c r="A41" s="4" t="s">
        <v>77</v>
      </c>
      <c r="B41" s="4">
        <v>87.0</v>
      </c>
      <c r="C41" s="4">
        <v>85.0</v>
      </c>
      <c r="F41" s="4" t="s">
        <v>23</v>
      </c>
    </row>
    <row r="42">
      <c r="A42" s="4" t="s">
        <v>78</v>
      </c>
      <c r="B42" s="4">
        <v>100.0</v>
      </c>
      <c r="C42" s="4">
        <v>90.0</v>
      </c>
      <c r="D42" s="4">
        <v>50.0</v>
      </c>
      <c r="F42" s="4" t="s">
        <v>55</v>
      </c>
    </row>
    <row r="43">
      <c r="A43" s="4" t="s">
        <v>79</v>
      </c>
      <c r="B43" s="4">
        <v>100.0</v>
      </c>
      <c r="C43" s="4">
        <v>89.0</v>
      </c>
      <c r="D43" s="4">
        <v>89.0</v>
      </c>
      <c r="F43" s="4" t="s">
        <v>80</v>
      </c>
    </row>
    <row r="44">
      <c r="A44" s="4" t="s">
        <v>81</v>
      </c>
      <c r="B44" s="4">
        <v>79.0</v>
      </c>
      <c r="C44" s="4">
        <v>80.0</v>
      </c>
    </row>
    <row r="45">
      <c r="A45" s="4" t="s">
        <v>82</v>
      </c>
      <c r="B45" s="4">
        <v>79.0</v>
      </c>
      <c r="C45" s="4">
        <v>60.0</v>
      </c>
      <c r="F45" s="4" t="s">
        <v>80</v>
      </c>
    </row>
    <row r="46">
      <c r="A46" s="4" t="s">
        <v>83</v>
      </c>
      <c r="B46" s="4">
        <v>55.0</v>
      </c>
      <c r="C46" s="4">
        <v>35.0</v>
      </c>
      <c r="F46" s="4" t="s">
        <v>80</v>
      </c>
    </row>
    <row r="47">
      <c r="A47" s="4" t="s">
        <v>84</v>
      </c>
      <c r="B47" s="4">
        <v>73.0</v>
      </c>
      <c r="C47" s="4">
        <v>55.0</v>
      </c>
      <c r="F47" s="4" t="s">
        <v>80</v>
      </c>
    </row>
    <row r="48">
      <c r="A48" s="4" t="s">
        <v>85</v>
      </c>
      <c r="B48" s="4">
        <v>83.0</v>
      </c>
      <c r="C48" s="4">
        <v>35.0</v>
      </c>
      <c r="F48" s="4" t="s">
        <v>23</v>
      </c>
    </row>
    <row r="49">
      <c r="A49" s="4" t="s">
        <v>86</v>
      </c>
      <c r="B49" s="4">
        <v>100.0</v>
      </c>
      <c r="C49" s="4">
        <v>82.0</v>
      </c>
      <c r="F49" s="4" t="s">
        <v>80</v>
      </c>
    </row>
    <row r="50">
      <c r="A50" s="4" t="s">
        <v>87</v>
      </c>
      <c r="B50" s="4">
        <v>90.0</v>
      </c>
      <c r="C50" s="4">
        <v>85.0</v>
      </c>
      <c r="F50" s="4" t="s">
        <v>80</v>
      </c>
    </row>
    <row r="51">
      <c r="A51" s="4" t="s">
        <v>88</v>
      </c>
      <c r="B51" s="4">
        <v>80.0</v>
      </c>
      <c r="C51" s="4">
        <v>83.0</v>
      </c>
      <c r="F51" s="4" t="s">
        <v>80</v>
      </c>
    </row>
    <row r="52">
      <c r="A52" s="4" t="s">
        <v>89</v>
      </c>
      <c r="B52" s="4">
        <v>55.0</v>
      </c>
      <c r="C52" s="4">
        <v>87.0</v>
      </c>
      <c r="D52" s="4">
        <v>35.0</v>
      </c>
      <c r="F52" s="4" t="s">
        <v>23</v>
      </c>
    </row>
    <row r="53">
      <c r="A53" s="4" t="s">
        <v>90</v>
      </c>
      <c r="B53" s="4">
        <v>41.0</v>
      </c>
      <c r="C53" s="4">
        <v>77.0</v>
      </c>
      <c r="F53" s="4" t="s">
        <v>23</v>
      </c>
    </row>
    <row r="54">
      <c r="A54" s="4" t="s">
        <v>91</v>
      </c>
      <c r="B54" s="4">
        <v>80.0</v>
      </c>
      <c r="C54" s="4">
        <v>79.0</v>
      </c>
      <c r="F54" s="4" t="s">
        <v>23</v>
      </c>
    </row>
    <row r="55">
      <c r="A55" s="4" t="s">
        <v>92</v>
      </c>
      <c r="B55" s="4">
        <v>77.0</v>
      </c>
      <c r="C55" s="4">
        <v>73.0</v>
      </c>
      <c r="F55" s="4" t="s">
        <v>23</v>
      </c>
    </row>
    <row r="56">
      <c r="A56" s="4" t="s">
        <v>93</v>
      </c>
      <c r="B56" s="4">
        <v>77.0</v>
      </c>
      <c r="C56" s="4">
        <v>41.0</v>
      </c>
      <c r="F56" s="4" t="s">
        <v>23</v>
      </c>
    </row>
    <row r="57">
      <c r="A57" s="4" t="s">
        <v>94</v>
      </c>
      <c r="B57" s="4">
        <v>21.0</v>
      </c>
      <c r="C57" s="4">
        <v>17.0</v>
      </c>
      <c r="D57" s="4">
        <v>30.0</v>
      </c>
      <c r="F57" s="4" t="s">
        <v>23</v>
      </c>
    </row>
    <row r="58">
      <c r="A58" s="4" t="s">
        <v>95</v>
      </c>
      <c r="B58" s="4">
        <v>55.0</v>
      </c>
      <c r="C58" s="4">
        <v>60.0</v>
      </c>
      <c r="F58" s="4" t="s">
        <v>80</v>
      </c>
    </row>
    <row r="59">
      <c r="A59" s="4" t="s">
        <v>96</v>
      </c>
      <c r="B59" s="4">
        <v>70.0</v>
      </c>
      <c r="C59" s="4">
        <v>73.0</v>
      </c>
      <c r="F59" s="4" t="s">
        <v>80</v>
      </c>
    </row>
  </sheetData>
  <conditionalFormatting sqref="K2">
    <cfRule type="notContainsBlanks" dxfId="0" priority="1">
      <formula>LEN(TRIM(K2))&gt;0</formula>
    </cfRule>
  </conditionalFormatting>
  <conditionalFormatting sqref="M4:M28">
    <cfRule type="colorScale" priority="2">
      <colorScale>
        <cfvo type="min"/>
        <cfvo type="formula" val="M2"/>
        <cfvo type="max"/>
        <color rgb="FFE67C73"/>
        <color rgb="FFFFFFFF"/>
        <color rgb="FF57BB8A"/>
      </colorScale>
    </cfRule>
  </conditionalFormatting>
  <conditionalFormatting sqref="N4:N28">
    <cfRule type="colorScale" priority="3">
      <colorScale>
        <cfvo type="min"/>
        <cfvo type="formula" val="N2"/>
        <cfvo type="max"/>
        <color rgb="FFE67C73"/>
        <color rgb="FFFFFFFF"/>
        <color rgb="FF57BB8A"/>
      </colorScale>
    </cfRule>
  </conditionalFormatting>
  <conditionalFormatting sqref="O4:P28">
    <cfRule type="colorScale" priority="4">
      <colorScale>
        <cfvo type="min"/>
        <cfvo type="formula" val="O2"/>
        <cfvo type="max"/>
        <color rgb="FFE67C73"/>
        <color rgb="FFFFFFFF"/>
        <color rgb="FF57BB8A"/>
      </colorScale>
    </cfRule>
  </conditionalFormatting>
  <conditionalFormatting sqref="Q4:Q28">
    <cfRule type="colorScale" priority="5">
      <colorScale>
        <cfvo type="min"/>
        <cfvo type="formula" val="Q2"/>
        <cfvo type="max"/>
        <color rgb="FFE67C73"/>
        <color rgb="FFFFFFFF"/>
        <color rgb="FF57BB8A"/>
      </colorScale>
    </cfRule>
  </conditionalFormatting>
  <drawing r:id="rId1"/>
</worksheet>
</file>